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 activeTab="1"/>
  </bookViews>
  <sheets>
    <sheet name="机制" sheetId="6" r:id="rId1"/>
    <sheet name="职业技能" sheetId="1" r:id="rId2"/>
    <sheet name="江湖技能" sheetId="2" r:id="rId3"/>
    <sheet name="内功" sheetId="3" r:id="rId4"/>
  </sheets>
  <definedNames>
    <definedName name="_xlnm._FilterDatabase" localSheetId="0" hidden="1">机制!$D:$D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<sst xmlns="http://schemas.openxmlformats.org/spreadsheetml/2006/main" count="93" uniqueCount="55">
  <si>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技能</t>
  </si>
  <si>
    <t>关联</t>
  </si>
  <si>
    <t>关系类型</t>
  </si>
  <si>
    <t>参数</t>
  </si>
  <si>
    <t>妙音__逐月·乘风</t>
  </si>
  <si>
    <t>妙音__飞天</t>
  </si>
  <si>
    <t>前置</t>
  </si>
  <si>
    <t>妙音__飞天·莲心</t>
  </si>
  <si>
    <t>替换技能</t>
  </si>
  <si>
    <t>妙音__莲步盈华</t>
  </si>
  <si>
    <t>妙音__莲步盈华·并蒂</t>
  </si>
  <si>
    <t>互斥</t>
  </si>
  <si>
    <t>共享时间</t>
  </si>
  <si>
    <t>名称</t>
  </si>
  <si>
    <t>冷却时间</t>
  </si>
  <si>
    <t>持续时间</t>
  </si>
  <si>
    <t>霸体时间</t>
  </si>
  <si>
    <t>减伤</t>
  </si>
  <si>
    <t>所属</t>
  </si>
  <si>
    <t>专属ID</t>
  </si>
  <si>
    <t>备注</t>
  </si>
  <si>
    <t>飞泉</t>
  </si>
  <si>
    <t>妙音</t>
  </si>
  <si>
    <t>九霄落影</t>
  </si>
  <si>
    <t>水月吟</t>
  </si>
  <si>
    <t>塞上曲</t>
  </si>
  <si>
    <t>春霖</t>
  </si>
  <si>
    <t>祈愿</t>
  </si>
  <si>
    <t>比翼连枝</t>
  </si>
  <si>
    <t>逐月</t>
  </si>
  <si>
    <t>逐月·乘风</t>
  </si>
  <si>
    <t>飞天</t>
  </si>
  <si>
    <t>飞天·莲心</t>
  </si>
  <si>
    <t>莲步盈华</t>
  </si>
  <si>
    <t>莲步盈华·并蒂</t>
  </si>
  <si>
    <t>山盟</t>
  </si>
  <si>
    <t>素心</t>
  </si>
  <si>
    <t>落霞</t>
  </si>
  <si>
    <t>初绽</t>
  </si>
  <si>
    <t>约定</t>
  </si>
  <si>
    <t>风摇筝</t>
  </si>
  <si>
    <t>彩翼</t>
  </si>
  <si>
    <t>扶风</t>
  </si>
  <si>
    <t>净世莲华</t>
  </si>
  <si>
    <t>绝技</t>
  </si>
  <si>
    <t>揽雀尾</t>
  </si>
  <si>
    <t>百家</t>
  </si>
  <si>
    <t>凤绽朱华</t>
  </si>
  <si>
    <t>不动明王·灵韵</t>
  </si>
  <si>
    <t>俯仰太虚</t>
  </si>
  <si>
    <t>减少流派解控技能冷却3秒</t>
  </si>
  <si>
    <t>俯仰太虚·灵韵</t>
  </si>
  <si>
    <t>减少流派解控技能冷却4秒</t>
  </si>
  <si>
    <t>纳百观</t>
  </si>
  <si>
    <t>纳百观·灵韵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</si>
</sst>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7" sqref="C7"/>
    </sheetView>
  </sheetViews>
  <sheetFormatPr defaultColWidth="8.72727272727273" defaultRowHeight="14" outlineLevelRow="5" outlineLevelCol="4"/>
  <cols>
    <col min="1" max="1" width="11.8181818181818" customWidth="1"/>
    <col min="2" max="2" width="16.2727272727273" customWidth="1"/>
    <col min="3" max="3" width="9.54545454545454" customWidth="1"/>
    <col min="4" max="4" width="5.5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 t="s">
        <v>5</v>
      </c>
      <c r="C2" t="s">
        <v>6</v>
      </c>
      <c r="E2" s="1"/>
    </row>
    <row r="3" spans="1:4">
      <c r="A3" t="s">
        <v>5</v>
      </c>
      <c r="B3" t="s">
        <v>7</v>
      </c>
      <c r="C3" t="s">
        <v>8</v>
      </c>
      <c r="D3">
        <v>5</v>
      </c>
    </row>
    <row r="4" spans="1:3">
      <c r="A4" t="s">
        <v>7</v>
      </c>
      <c r="B4" t="s">
        <v>5</v>
      </c>
      <c r="C4" t="s">
        <v>6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7</v>
      </c>
      <c r="B6" t="s">
        <v>5</v>
      </c>
      <c r="C6" t="s">
        <v>12</v>
      </c>
    </row>
  </sheetData>
  <dataValidations count="3">
    <dataValidation allowBlank="1" showInputMessage="1" showErrorMessage="1" sqref="$A1:$XFD1"/>
    <dataValidation type="list" allowBlank="1" showInputMessage="1" showErrorMessage="1" sqref="A2:A1048576 B2:B1048576">
      <formula1>职业技能!$G$2:$G$999</formula1>
    </dataValidation>
    <dataValidation type="list" allowBlank="1" showInputMessage="1" showErrorMessage="1" sqref="C2:C1048576">
      <formula1>"前置,窗口期,被动,共享冷却,替换技能,互斥,共享时间"</formula1>
    </dataValidation>
  </dataValidations>
  <pageMargins left="0.75" right="0.75" top="1" bottom="1" header="0.5" footer="0.5"/>
  <headerFooter/>
  <ignoredErrors>
    <ignoredError sqref="C1 A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6" sqref="F16:F21"/>
    </sheetView>
  </sheetViews>
  <sheetFormatPr defaultColWidth="8.72727272727273" defaultRowHeight="14" outlineLevelCol="7"/>
  <cols>
    <col min="1" max="1" width="16.2727272727273" customWidth="1"/>
    <col min="2" max="4" width="9.54545454545454" customWidth="1"/>
    <col min="5" max="6" width="5.54545454545455" customWidth="1"/>
    <col min="7" max="7" width="11.8181818181818" customWidth="1"/>
    <col min="8" max="8" width="5.54545454545455" customWidth="1"/>
  </cols>
  <sheetData>
    <row r="1" spans="1: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7">
      <c r="A2" t="s">
        <v>21</v>
      </c>
      <c r="B2">
        <v>7</v>
      </c>
      <c r="F2" t="s">
        <v>22</v>
      </c>
      <c r="G2" t="str">
        <f>F2&amp;"__"&amp;SUBSTITUTE(SUBSTITUTE(TRIM(A2)," ",""),"　","")</f>
        <v>妙音__飞泉</v>
      </c>
    </row>
    <row r="3" spans="1:7">
      <c r="A3" t="s">
        <v>23</v>
      </c>
      <c r="B3">
        <v>20</v>
      </c>
      <c r="C3">
        <v>6</v>
      </c>
      <c r="D3">
        <v>1.7</v>
      </c>
      <c r="F3" t="s">
        <v>22</v>
      </c>
      <c r="G3" t="str">
        <f t="shared" ref="G3:G15" si="0">F3&amp;"__"&amp;SUBSTITUTE(SUBSTITUTE(TRIM(A3)," ",""),"　","")</f>
        <v>妙音__九霄落影</v>
      </c>
    </row>
    <row r="4" spans="1:7">
      <c r="A4" t="s">
        <v>24</v>
      </c>
      <c r="B4">
        <v>10</v>
      </c>
      <c r="F4" t="s">
        <v>22</v>
      </c>
      <c r="G4" t="str">
        <f t="shared" si="0"/>
        <v>妙音__水月吟</v>
      </c>
    </row>
    <row r="5" spans="1:7">
      <c r="A5" t="s">
        <v>25</v>
      </c>
      <c r="B5">
        <v>14</v>
      </c>
      <c r="C5">
        <v>12</v>
      </c>
      <c r="F5" t="s">
        <v>22</v>
      </c>
      <c r="G5" t="str">
        <f t="shared" si="0"/>
        <v>妙音__塞上曲</v>
      </c>
    </row>
    <row r="6" spans="1:7">
      <c r="A6" t="s">
        <v>26</v>
      </c>
      <c r="B6">
        <v>16</v>
      </c>
      <c r="C6">
        <v>30</v>
      </c>
      <c r="F6" t="s">
        <v>22</v>
      </c>
      <c r="G6" t="str">
        <f t="shared" si="0"/>
        <v>妙音__春霖</v>
      </c>
    </row>
    <row r="7" spans="1:7">
      <c r="A7" t="s">
        <v>27</v>
      </c>
      <c r="B7">
        <v>35</v>
      </c>
      <c r="C7">
        <v>3.5</v>
      </c>
      <c r="D7">
        <v>4.5</v>
      </c>
      <c r="E7">
        <v>35</v>
      </c>
      <c r="F7" t="s">
        <v>22</v>
      </c>
      <c r="G7" t="str">
        <f t="shared" si="0"/>
        <v>妙音__祈愿</v>
      </c>
    </row>
    <row r="8" spans="1:7">
      <c r="A8" t="s">
        <v>28</v>
      </c>
      <c r="B8">
        <v>30</v>
      </c>
      <c r="C8">
        <v>240</v>
      </c>
      <c r="F8" t="s">
        <v>22</v>
      </c>
      <c r="G8" t="str">
        <f t="shared" si="0"/>
        <v>妙音__比翼连枝</v>
      </c>
    </row>
    <row r="9" spans="1:7">
      <c r="A9" t="s">
        <v>29</v>
      </c>
      <c r="B9">
        <v>18</v>
      </c>
      <c r="C9">
        <v>2</v>
      </c>
      <c r="D9">
        <v>2</v>
      </c>
      <c r="E9">
        <v>25</v>
      </c>
      <c r="F9" t="s">
        <v>22</v>
      </c>
      <c r="G9" t="str">
        <f t="shared" si="0"/>
        <v>妙音__逐月</v>
      </c>
    </row>
    <row r="10" spans="1:7">
      <c r="A10" t="s">
        <v>30</v>
      </c>
      <c r="C10">
        <v>1.5</v>
      </c>
      <c r="D10">
        <v>1.5</v>
      </c>
      <c r="F10" t="s">
        <v>22</v>
      </c>
      <c r="G10" t="str">
        <f t="shared" si="0"/>
        <v>妙音__逐月·乘风</v>
      </c>
    </row>
    <row r="11" spans="1:7">
      <c r="A11" t="s">
        <v>31</v>
      </c>
      <c r="B11">
        <v>45</v>
      </c>
      <c r="C11">
        <v>20</v>
      </c>
      <c r="D11">
        <v>4</v>
      </c>
      <c r="E11">
        <v>25</v>
      </c>
      <c r="F11" t="s">
        <v>22</v>
      </c>
      <c r="G11" t="str">
        <f t="shared" si="0"/>
        <v>妙音__飞天</v>
      </c>
    </row>
    <row r="12" spans="1:7">
      <c r="A12" t="s">
        <v>32</v>
      </c>
      <c r="D12">
        <v>1</v>
      </c>
      <c r="E12">
        <v>25</v>
      </c>
      <c r="F12" t="s">
        <v>22</v>
      </c>
      <c r="G12" t="str">
        <f t="shared" si="0"/>
        <v>妙音__飞天·莲心</v>
      </c>
    </row>
    <row r="13" spans="1:7">
      <c r="A13" t="s">
        <v>33</v>
      </c>
      <c r="B13">
        <v>90</v>
      </c>
      <c r="C13">
        <v>12</v>
      </c>
      <c r="D13">
        <v>12</v>
      </c>
      <c r="E13">
        <v>100</v>
      </c>
      <c r="F13" t="s">
        <v>22</v>
      </c>
      <c r="G13" t="str">
        <f t="shared" si="0"/>
        <v>妙音__莲步盈华</v>
      </c>
    </row>
    <row r="14" spans="1:7">
      <c r="A14" t="s">
        <v>34</v>
      </c>
      <c r="B14">
        <v>60</v>
      </c>
      <c r="C14">
        <v>12</v>
      </c>
      <c r="D14">
        <v>12</v>
      </c>
      <c r="E14">
        <v>100</v>
      </c>
      <c r="F14" t="s">
        <v>22</v>
      </c>
      <c r="G14" t="str">
        <f t="shared" si="0"/>
        <v>妙音__莲步盈华·并蒂</v>
      </c>
    </row>
    <row r="15" spans="1:7">
      <c r="A15" t="s">
        <v>35</v>
      </c>
      <c r="F15" t="s">
        <v>36</v>
      </c>
      <c r="G15" t="str">
        <f t="shared" si="0"/>
        <v>素心__山盟</v>
      </c>
    </row>
    <row r="16" spans="1:6">
      <c r="A16" t="s">
        <v>37</v>
      </c>
      <c r="F16" t="s">
        <v>36</v>
      </c>
    </row>
    <row r="17" spans="1:6">
      <c r="A17" t="s">
        <v>38</v>
      </c>
      <c r="F17" t="s">
        <v>36</v>
      </c>
    </row>
    <row r="18" spans="1:6">
      <c r="A18" t="s">
        <v>39</v>
      </c>
      <c r="F18" t="s">
        <v>36</v>
      </c>
    </row>
    <row r="19" spans="1:6">
      <c r="A19" t="s">
        <v>40</v>
      </c>
      <c r="F19" t="s">
        <v>36</v>
      </c>
    </row>
    <row r="20" spans="1:6">
      <c r="A20" t="s">
        <v>41</v>
      </c>
      <c r="F20" t="s">
        <v>36</v>
      </c>
    </row>
    <row r="21" spans="1:6">
      <c r="A21" t="s">
        <v>42</v>
      </c>
      <c r="F2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C39" sqref="C39"/>
    </sheetView>
  </sheetViews>
  <sheetFormatPr defaultColWidth="8.72727272727273" defaultRowHeight="14" outlineLevelRow="3" outlineLevelCol="6"/>
  <sheetData>
    <row r="1" spans="1: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>
      <c r="A2" t="s">
        <v>43</v>
      </c>
      <c r="B2">
        <v>50</v>
      </c>
      <c r="C2">
        <v>18</v>
      </c>
      <c r="D2">
        <v>4</v>
      </c>
      <c r="F2" t="s">
        <v>44</v>
      </c>
      <c r="G2" t="str">
        <f>F2&amp;"__"&amp;SUBSTITUTE(SUBSTITUTE(TRIM(A2)," ",""),"　","")</f>
        <v>绝技__净世莲华</v>
      </c>
    </row>
    <row r="3" spans="1:7">
      <c r="A3" t="s">
        <v>45</v>
      </c>
      <c r="B3">
        <v>13</v>
      </c>
      <c r="C3">
        <v>4</v>
      </c>
      <c r="D3">
        <v>3.5</v>
      </c>
      <c r="E3">
        <v>60</v>
      </c>
      <c r="F3" t="s">
        <v>46</v>
      </c>
      <c r="G3" t="str">
        <f>F3&amp;"__"&amp;SUBSTITUTE(SUBSTITUTE(TRIM(A3)," ",""),"　","")</f>
        <v>百家__揽雀尾</v>
      </c>
    </row>
    <row r="4" spans="1:7">
      <c r="A4" t="s">
        <v>47</v>
      </c>
      <c r="B4">
        <v>15</v>
      </c>
      <c r="C4">
        <v>4</v>
      </c>
      <c r="D4">
        <v>1.25</v>
      </c>
      <c r="F4" t="s">
        <v>46</v>
      </c>
      <c r="G4" t="str">
        <f>F4&amp;"__"&amp;SUBSTITUTE(SUBSTITUTE(TRIM(A4)," ",""),"　","")</f>
        <v>百家__凤绽朱华</v>
      </c>
    </row>
  </sheetData>
  <dataValidations count="1">
    <dataValidation type="list" allowBlank="1" showInputMessage="1" showErrorMessage="1" sqref="F2:F1048576">
      <formula1>"绝技,群侠,百家"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D39" sqref="D39"/>
    </sheetView>
  </sheetViews>
  <sheetFormatPr defaultColWidth="8.72727272727273" defaultRowHeight="14" outlineLevelRow="5" outlineLevelCol="5"/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20</v>
      </c>
    </row>
    <row r="2" spans="1:5">
      <c r="A2" t="s">
        <v>48</v>
      </c>
      <c r="B2">
        <v>35</v>
      </c>
      <c r="C2">
        <v>2</v>
      </c>
      <c r="D2">
        <v>2</v>
      </c>
      <c r="E2">
        <v>30</v>
      </c>
    </row>
    <row r="3" spans="1:6">
      <c r="A3" t="s">
        <v>49</v>
      </c>
      <c r="B3">
        <v>12</v>
      </c>
      <c r="C3">
        <v>3</v>
      </c>
      <c r="E3">
        <v>15</v>
      </c>
      <c r="F3" t="s">
        <v>50</v>
      </c>
    </row>
    <row r="4" spans="1:6">
      <c r="A4" t="s">
        <v>51</v>
      </c>
      <c r="B4">
        <v>12</v>
      </c>
      <c r="C4">
        <v>4</v>
      </c>
      <c r="E4">
        <v>15</v>
      </c>
      <c r="F4" t="s">
        <v>52</v>
      </c>
    </row>
    <row r="5" spans="1:5">
      <c r="A5" t="s">
        <v>53</v>
      </c>
      <c r="B5">
        <v>8</v>
      </c>
      <c r="C5">
        <v>6</v>
      </c>
      <c r="E5">
        <v>4</v>
      </c>
    </row>
    <row r="6" spans="1:5">
      <c r="A6" t="s">
        <v>54</v>
      </c>
      <c r="B6">
        <v>8</v>
      </c>
      <c r="C6">
        <v>6</v>
      </c>
      <c r="E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机制</vt:lpstr>
      <vt:lpstr>职业技能</vt:lpstr>
      <vt:lpstr>江湖技能</vt:lpstr>
      <vt:lpstr>内功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15879</dc:creator>
  <cp:lastModifiedBy>15879</cp:lastModifiedBy>
  <dcterms:created xsi:type="dcterms:W3CDTF">2026-02-12T22:54:43Z</dcterms:created>
  <dcterms:modified xsi:type="dcterms:W3CDTF">2026-02-13T22:20:00Z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E180B225D91241D48231BE1ED79EF578_11</vt:lpwstr>
  </property>
  <property fmtid="{D5CDD505-2E9C-101B-9397-08002B2CF9AE}" pid="3" name="KSOProductBuildVer">
    <vt:lpwstr>2052-12.8.2.21555</vt:lpwstr>
  </property>
</Properties>
</file>